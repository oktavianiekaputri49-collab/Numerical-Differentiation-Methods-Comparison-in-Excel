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85C3E4B7-6B65-4B67-868D-5F3B00FB7DF2}" xr6:coauthVersionLast="47" xr6:coauthVersionMax="47" xr10:uidLastSave="{00000000-0000-0000-0000-000000000000}"/>
  <bookViews>
    <workbookView xWindow="-110" yWindow="-110" windowWidth="19420" windowHeight="10300" xr2:uid="{8AFE4F9F-D58E-4590-A4A1-EE76BC961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12" i="1"/>
  <c r="B11" i="1"/>
  <c r="B10" i="1"/>
  <c r="B9" i="1"/>
  <c r="B8" i="1"/>
  <c r="B27" i="1" l="1"/>
  <c r="B36" i="1"/>
  <c r="B30" i="1"/>
  <c r="B33" i="1"/>
  <c r="B39" i="1"/>
  <c r="B18" i="1" l="1"/>
  <c r="C39" i="1"/>
  <c r="B16" i="1"/>
  <c r="C33" i="1"/>
  <c r="B15" i="1"/>
  <c r="C30" i="1"/>
  <c r="B17" i="1"/>
  <c r="C36" i="1"/>
  <c r="B14" i="1"/>
  <c r="C27" i="1"/>
</calcChain>
</file>

<file path=xl/sharedStrings.xml><?xml version="1.0" encoding="utf-8"?>
<sst xmlns="http://schemas.openxmlformats.org/spreadsheetml/2006/main" count="32" uniqueCount="24">
  <si>
    <t>f(x)</t>
  </si>
  <si>
    <t>x^2 ln x + x</t>
  </si>
  <si>
    <t>batas bawah</t>
  </si>
  <si>
    <t>batas atas</t>
  </si>
  <si>
    <t>h</t>
  </si>
  <si>
    <t>x</t>
  </si>
  <si>
    <t>Notasi</t>
  </si>
  <si>
    <t>f-2</t>
  </si>
  <si>
    <t>f-1</t>
  </si>
  <si>
    <t>f0</t>
  </si>
  <si>
    <t>f1</t>
  </si>
  <si>
    <t>f2</t>
  </si>
  <si>
    <t>Hasil turunan sebenarnya</t>
  </si>
  <si>
    <t>Metode</t>
  </si>
  <si>
    <t>Nilai Hampiran</t>
  </si>
  <si>
    <t>Error</t>
  </si>
  <si>
    <t>Selisih Maju O(h)</t>
  </si>
  <si>
    <t>Selisih Mundur O(h)</t>
  </si>
  <si>
    <t>Selisih Pusat O(h^2)</t>
  </si>
  <si>
    <t>Selisih Maju O(h^2)</t>
  </si>
  <si>
    <t>Selisih Pusat O(h^4)</t>
  </si>
  <si>
    <t>paling akurat terhadap nilai turunan sebenarnya.</t>
  </si>
  <si>
    <r>
      <t>Kesimpulan:</t>
    </r>
    <r>
      <rPr>
        <sz val="12"/>
        <color theme="1"/>
        <rFont val="Times New Roman"/>
        <family val="1"/>
      </rPr>
      <t xml:space="preserve"> Berdasarkan hasil perhitungan, metode Selisih Pusat O(h⁴) menghasilkan</t>
    </r>
  </si>
  <si>
    <r>
      <t xml:space="preserve">error absolut terkecil sebesar </t>
    </r>
    <r>
      <rPr>
        <b/>
        <sz val="12"/>
        <color theme="1"/>
        <rFont val="Times New Roman"/>
        <family val="1"/>
      </rPr>
      <t>0,000047%</t>
    </r>
    <r>
      <rPr>
        <sz val="12"/>
        <color theme="1"/>
        <rFont val="Times New Roman"/>
        <family val="1"/>
      </rPr>
      <t>, sehingga memberikan pendekatan yang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</si>
</sst>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%"/>
    <numFmt numFmtId="166" formatCode="0.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165" fontId="2" fillId="0" borderId="1" xfId="1" applyNumberFormat="1" applyFont="1" applyBorder="1" applyAlignment="1"/>
    <xf numFmtId="166" fontId="2" fillId="0" borderId="1" xfId="1" applyNumberFormat="1" applyFont="1" applyBorder="1" applyAlignment="1"/>
    <xf numFmtId="166" fontId="2" fillId="0" borderId="0" xfId="1" applyNumberFormat="1" applyFont="1" applyBorder="1" applyAlignment="1"/>
    <xf numFmtId="165" fontId="0" fillId="0" borderId="1" xfId="0" applyNumberFormat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baseline="0"/>
              <a:t>Grafik Fungsi f(x)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Sheet1!$A$8:$A$12</c:f>
              <c:numCache>
                <c:formatCode>General</c:formatCode>
                <c:ptCount val="5"/>
                <c:pt idx="0">
                  <c:v>1.6</c:v>
                </c:pt>
                <c:pt idx="1">
                  <c:v>1.7</c:v>
                </c:pt>
                <c:pt idx="2">
                  <c:v>1.8</c:v>
                </c:pt>
                <c:pt idx="3">
                  <c:v>1.9</c:v>
                </c:pt>
                <c:pt idx="4">
                  <c:v>2</c:v>
                </c:pt>
              </c:numCache>
            </c:numRef>
          </c:xVal>
          <c:yVal>
            <c:numRef>
              <c:f>Sheet1!$B$8:$B$12</c:f>
              <c:numCache>
                <c:formatCode>0.0000000000</c:formatCode>
                <c:ptCount val="5"/>
                <c:pt idx="0">
                  <c:v>2.8032092908690833</c:v>
                </c:pt>
                <c:pt idx="1">
                  <c:v>3.2335156455696721</c:v>
                </c:pt>
                <c:pt idx="2">
                  <c:v>3.7044287942828662</c:v>
                </c:pt>
                <c:pt idx="3">
                  <c:v>4.2170925290823451</c:v>
                </c:pt>
                <c:pt idx="4">
                  <c:v>4.7725887222397816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2-42DB-9B0B-F59868D0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853887"/>
        <c:axId val="1206854847"/>
      </c:scatterChart>
      <c:valAx>
        <c:axId val="120685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854847"/>
        <c:crosses val="autoZero"/>
        <c:crossBetween val="midCat"/>
      </c:valAx>
      <c:valAx>
        <c:axId val="12068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85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baseline="0"/>
              <a:t>Perbandingan Error Metode Turunan Numerik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Sheet1!$A$14:$A$18</c:f>
              <c:strCache>
                <c:ptCount val="5"/>
                <c:pt idx="0">
                  <c:v>Selisih Maju O(h)</c:v>
                </c:pt>
                <c:pt idx="1">
                  <c:v>Selisih Mundur O(h)</c:v>
                </c:pt>
                <c:pt idx="2">
                  <c:v>Selisih Pusat O(h^2)</c:v>
                </c:pt>
                <c:pt idx="3">
                  <c:v>Selisih Maju O(h^2)</c:v>
                </c:pt>
                <c:pt idx="4">
                  <c:v>Selisih Pusat O(h^4)</c:v>
                </c:pt>
              </c:strCache>
            </c:strRef>
          </c:cat>
          <c:val>
            <c:numRef>
              <c:f>Sheet1!$B$14:$B$18</c:f>
              <c:numCache>
                <c:formatCode>0.000%</c:formatCode>
                <c:ptCount val="5"/>
                <c:pt idx="0">
                  <c:v>4.2840517437498282E-2</c:v>
                </c:pt>
                <c:pt idx="1">
                  <c:v>4.2086891782445443E-2</c:v>
                </c:pt>
                <c:pt idx="2">
                  <c:v>3.7681282752641883E-4</c:v>
                </c:pt>
                <c:pt idx="3">
                  <c:v>7.2353830227871174E-4</c:v>
                </c:pt>
                <c:pt idx="4" formatCode="0.000000%">
                  <c:v>4.671190221725644E-7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C-437F-B840-949D5618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815007"/>
        <c:axId val="1206832287"/>
      </c:barChart>
      <c:catAx>
        <c:axId val="120681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832287"/>
        <c:crosses val="autoZero"/>
        <c:auto val="1"/>
        <c:lblAlgn val="ctr"/>
        <c:lblOffset val="100"/>
        <c:noMultiLvlLbl val="0"/>
      </c:catAx>
      <c:valAx>
        <c:axId val="12068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81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26</xdr:row>
      <xdr:rowOff>6350</xdr:rowOff>
    </xdr:from>
    <xdr:to>
      <xdr:col>0</xdr:col>
      <xdr:colOff>1314451</xdr:colOff>
      <xdr:row>27</xdr:row>
      <xdr:rowOff>166365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30390-87E4-4413-A4A6-9986427B9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3486150"/>
          <a:ext cx="1276350" cy="344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12700</xdr:rowOff>
    </xdr:from>
    <xdr:to>
      <xdr:col>0</xdr:col>
      <xdr:colOff>1397000</xdr:colOff>
      <xdr:row>31</xdr:row>
      <xdr:rowOff>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63EC7-909B-4D3F-BBF8-967D6C55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57650"/>
          <a:ext cx="1397000" cy="3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32</xdr:row>
      <xdr:rowOff>25400</xdr:rowOff>
    </xdr:from>
    <xdr:to>
      <xdr:col>0</xdr:col>
      <xdr:colOff>1111250</xdr:colOff>
      <xdr:row>33</xdr:row>
      <xdr:rowOff>165911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5C2294-A966-4895-B97C-4AA02E76D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635500"/>
          <a:ext cx="1092200" cy="32466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35</xdr:row>
      <xdr:rowOff>25400</xdr:rowOff>
    </xdr:from>
    <xdr:to>
      <xdr:col>0</xdr:col>
      <xdr:colOff>1587500</xdr:colOff>
      <xdr:row>36</xdr:row>
      <xdr:rowOff>136685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73F434-DB84-4B88-8654-AA5352952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5200650"/>
          <a:ext cx="1581150" cy="29543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38</xdr:row>
      <xdr:rowOff>63500</xdr:rowOff>
    </xdr:from>
    <xdr:to>
      <xdr:col>0</xdr:col>
      <xdr:colOff>1568450</xdr:colOff>
      <xdr:row>39</xdr:row>
      <xdr:rowOff>152242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500C44-7318-4248-9B61-6C4C9D5A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5803900"/>
          <a:ext cx="1555750" cy="272892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48</xdr:row>
      <xdr:rowOff>174624</xdr:rowOff>
    </xdr:from>
    <xdr:to>
      <xdr:col>6</xdr:col>
      <xdr:colOff>38100</xdr:colOff>
      <xdr:row>65</xdr:row>
      <xdr:rowOff>177799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7343CEF-A86B-78F5-5FF0-CE6E28CD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</xdr:colOff>
      <xdr:row>67</xdr:row>
      <xdr:rowOff>28574</xdr:rowOff>
    </xdr:from>
    <xdr:to>
      <xdr:col>6</xdr:col>
      <xdr:colOff>19050</xdr:colOff>
      <xdr:row>84</xdr:row>
      <xdr:rowOff>25399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FA87F41-026D-737A-F9B7-60345EF86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EDC6-3F3F-4D28-BBF9-BDEB9F862D74}">
  <dimension ref="A1:C89"/>
  <sheetViews>
    <sheetView tabSelected="1" topLeftCell="A61" workbookViewId="0">
      <selection activeCell="H70" sqref="H70"/>
    </sheetView>
  </sheetViews>
  <sheetFormatPr defaultRowHeight="14.5" x14ac:dyDescent="0.35"/>
  <cols>
    <col min="1" max="1" width="23.26953125" bestFit="1" customWidth="1"/>
    <col min="2" max="2" width="15.6328125" bestFit="1" customWidth="1"/>
    <col min="3" max="3" width="11.81640625" bestFit="1" customWidth="1"/>
  </cols>
  <sheetData>
    <row r="1" spans="1:3" ht="15.5" x14ac:dyDescent="0.35">
      <c r="A1" s="1" t="s">
        <v>0</v>
      </c>
      <c r="B1" s="1" t="s">
        <v>1</v>
      </c>
    </row>
    <row r="2" spans="1:3" ht="15.5" x14ac:dyDescent="0.35">
      <c r="A2" s="1" t="s">
        <v>2</v>
      </c>
      <c r="B2" s="1">
        <v>1.6</v>
      </c>
    </row>
    <row r="3" spans="1:3" ht="15.5" x14ac:dyDescent="0.35">
      <c r="A3" s="1" t="s">
        <v>3</v>
      </c>
      <c r="B3" s="1">
        <v>2</v>
      </c>
    </row>
    <row r="4" spans="1:3" ht="15.5" x14ac:dyDescent="0.35">
      <c r="A4" s="1" t="s">
        <v>4</v>
      </c>
      <c r="B4" s="1">
        <v>0.1</v>
      </c>
    </row>
    <row r="7" spans="1:3" ht="15.5" x14ac:dyDescent="0.35">
      <c r="A7" s="2" t="s">
        <v>5</v>
      </c>
      <c r="B7" s="2" t="s">
        <v>0</v>
      </c>
      <c r="C7" s="2" t="s">
        <v>6</v>
      </c>
    </row>
    <row r="8" spans="1:3" ht="15.5" x14ac:dyDescent="0.35">
      <c r="A8" s="1">
        <v>1.6</v>
      </c>
      <c r="B8" s="3">
        <f>A8^2*LN(A8)+A8</f>
        <v>2.8032092908690833</v>
      </c>
      <c r="C8" s="1" t="s">
        <v>7</v>
      </c>
    </row>
    <row r="9" spans="1:3" ht="15.5" x14ac:dyDescent="0.35">
      <c r="A9" s="1">
        <v>1.7</v>
      </c>
      <c r="B9" s="3">
        <f t="shared" ref="B9:B12" si="0">A9^2*LN(A9)+A9</f>
        <v>3.2335156455696721</v>
      </c>
      <c r="C9" s="1" t="s">
        <v>8</v>
      </c>
    </row>
    <row r="10" spans="1:3" ht="15.5" x14ac:dyDescent="0.35">
      <c r="A10" s="1">
        <v>1.8</v>
      </c>
      <c r="B10" s="3">
        <f t="shared" si="0"/>
        <v>3.7044287942828662</v>
      </c>
      <c r="C10" s="1" t="s">
        <v>9</v>
      </c>
    </row>
    <row r="11" spans="1:3" ht="15.5" x14ac:dyDescent="0.35">
      <c r="A11" s="1">
        <v>1.9</v>
      </c>
      <c r="B11" s="3">
        <f t="shared" si="0"/>
        <v>4.2170925290823451</v>
      </c>
      <c r="C11" s="1" t="s">
        <v>10</v>
      </c>
    </row>
    <row r="12" spans="1:3" ht="15.5" x14ac:dyDescent="0.35">
      <c r="A12" s="1">
        <v>2</v>
      </c>
      <c r="B12" s="3">
        <f t="shared" si="0"/>
        <v>4.7725887222397816</v>
      </c>
      <c r="C12" s="1" t="s">
        <v>11</v>
      </c>
    </row>
    <row r="13" spans="1:3" ht="15.5" x14ac:dyDescent="0.35">
      <c r="A13" s="2" t="s">
        <v>13</v>
      </c>
      <c r="B13" s="2" t="s">
        <v>15</v>
      </c>
      <c r="C13" s="4"/>
    </row>
    <row r="14" spans="1:3" ht="15.5" x14ac:dyDescent="0.35">
      <c r="A14" s="1" t="s">
        <v>16</v>
      </c>
      <c r="B14" s="12">
        <f>ABS((B27-$B$23)/$B$23)</f>
        <v>4.2840517437498282E-2</v>
      </c>
    </row>
    <row r="15" spans="1:3" ht="15.5" x14ac:dyDescent="0.35">
      <c r="A15" s="1" t="s">
        <v>17</v>
      </c>
      <c r="B15" s="12">
        <f>ABS((B30-$B$23)/$B$23)</f>
        <v>4.2086891782445443E-2</v>
      </c>
    </row>
    <row r="16" spans="1:3" ht="15.5" x14ac:dyDescent="0.35">
      <c r="A16" s="1" t="s">
        <v>18</v>
      </c>
      <c r="B16" s="15">
        <f>ABS((B33-$B$23)/$B$23)</f>
        <v>3.7681282752641883E-4</v>
      </c>
    </row>
    <row r="17" spans="1:3" ht="15.5" x14ac:dyDescent="0.35">
      <c r="A17" s="1" t="s">
        <v>19</v>
      </c>
      <c r="B17" s="12">
        <f>ABS((B36-$B$23)/$B$23)</f>
        <v>7.2353830227871174E-4</v>
      </c>
    </row>
    <row r="18" spans="1:3" ht="15.5" x14ac:dyDescent="0.35">
      <c r="A18" s="1" t="s">
        <v>20</v>
      </c>
      <c r="B18" s="13">
        <f>ABS((B39-$B$23)/$B$23)</f>
        <v>4.671190221725644E-7</v>
      </c>
    </row>
    <row r="19" spans="1:3" ht="15.5" x14ac:dyDescent="0.35">
      <c r="A19" s="14"/>
    </row>
    <row r="20" spans="1:3" ht="15.5" x14ac:dyDescent="0.35">
      <c r="A20" s="4"/>
      <c r="B20" s="11"/>
      <c r="C20" s="4"/>
    </row>
    <row r="23" spans="1:3" ht="15.5" x14ac:dyDescent="0.35">
      <c r="A23" s="4" t="s">
        <v>12</v>
      </c>
      <c r="B23" s="5">
        <f>2*A10*LN(A10)+A10+1</f>
        <v>4.9160319936476284</v>
      </c>
    </row>
    <row r="25" spans="1:3" ht="15.5" x14ac:dyDescent="0.35">
      <c r="A25" s="6" t="s">
        <v>13</v>
      </c>
      <c r="B25" s="7" t="s">
        <v>14</v>
      </c>
      <c r="C25" s="6" t="s">
        <v>15</v>
      </c>
    </row>
    <row r="26" spans="1:3" ht="15.5" x14ac:dyDescent="0.35">
      <c r="A26" s="4" t="s">
        <v>16</v>
      </c>
    </row>
    <row r="27" spans="1:3" x14ac:dyDescent="0.35">
      <c r="B27" s="5">
        <f>(B11-B10)/$B$4</f>
        <v>5.1266373479947891</v>
      </c>
      <c r="C27" s="8">
        <f>ABS((B27-$B$23)/$B$23)</f>
        <v>4.2840517437498282E-2</v>
      </c>
    </row>
    <row r="29" spans="1:3" ht="15.5" x14ac:dyDescent="0.35">
      <c r="A29" s="4" t="s">
        <v>17</v>
      </c>
    </row>
    <row r="30" spans="1:3" x14ac:dyDescent="0.35">
      <c r="B30" s="5">
        <f>(B10-B9)/$B$4</f>
        <v>4.7091314871319412</v>
      </c>
      <c r="C30" s="8">
        <f>ABS((B30-$B$23)/$B$23)</f>
        <v>4.2086891782445443E-2</v>
      </c>
    </row>
    <row r="32" spans="1:3" ht="15.5" x14ac:dyDescent="0.35">
      <c r="A32" s="4" t="s">
        <v>18</v>
      </c>
    </row>
    <row r="33" spans="1:3" x14ac:dyDescent="0.35">
      <c r="B33" s="5">
        <f>(B11-B9)/(2*$B$4)</f>
        <v>4.9178844175633651</v>
      </c>
      <c r="C33" s="9">
        <f>ABS((B33-$B$23)/$B$23)</f>
        <v>3.7681282752641883E-4</v>
      </c>
    </row>
    <row r="35" spans="1:3" ht="15.5" x14ac:dyDescent="0.35">
      <c r="A35" s="4" t="s">
        <v>19</v>
      </c>
    </row>
    <row r="36" spans="1:3" x14ac:dyDescent="0.35">
      <c r="B36" s="5">
        <f>(-3*B10+4*B11-B12)/(2*$B$4)</f>
        <v>4.9124750562049968</v>
      </c>
      <c r="C36" s="9">
        <f>ABS((B36-$B$23)/$B$23)</f>
        <v>7.2353830227871174E-4</v>
      </c>
    </row>
    <row r="38" spans="1:3" ht="15.5" x14ac:dyDescent="0.35">
      <c r="A38" s="4" t="s">
        <v>20</v>
      </c>
    </row>
    <row r="39" spans="1:3" x14ac:dyDescent="0.35">
      <c r="B39" s="5">
        <f>(-B12+8*B11-8*B9+B8)/(12*$B$4)</f>
        <v>4.9160296972755706</v>
      </c>
      <c r="C39" s="10">
        <f>ABS((B39-$B$23)/$B$23)</f>
        <v>4.671190221725644E-7</v>
      </c>
    </row>
    <row r="87" spans="1:1" ht="15.5" x14ac:dyDescent="0.35">
      <c r="A87" s="16" t="s">
        <v>22</v>
      </c>
    </row>
    <row r="88" spans="1:1" ht="15.5" x14ac:dyDescent="0.35">
      <c r="A88" s="4" t="s">
        <v>23</v>
      </c>
    </row>
    <row r="89" spans="1:1" ht="15.5" x14ac:dyDescent="0.35">
      <c r="A89" s="4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2026-06-26T12:55:17Z</dcterms:created>
  <dcterms:modified xsi:type="dcterms:W3CDTF">2026-06-27T03:49:57Z</dcterms:modified>
</cp:coreProperties>
</file>